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true" localSheetId="0" name="_xlnm._FilterDatabase" vbProcedure="false">BOM!$A$3:$K$17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<sst xmlns="http://schemas.openxmlformats.org/spreadsheetml/2006/main" count="118" uniqueCount="101">
  <si>
    <t xml:space="preserve">Basis-of-Design Bill of Materials</t>
  </si>
  <si>
    <t xml:space="preserve">Price-backed purchased items only. Required unpriced scope is tracked outside this one-sheet BOM. Costs exclude tax, freight, labor, fabrication, installation, and permits.</t>
  </si>
  <si>
    <t xml:space="preserve">Category</t>
  </si>
  <si>
    <t xml:space="preserve">ID</t>
  </si>
  <si>
    <t xml:space="preserve">Quantity</t>
  </si>
  <si>
    <t xml:space="preserve">Unit</t>
  </si>
  <si>
    <t xml:space="preserve">Manufacturer / Model</t>
  </si>
  <si>
    <t xml:space="preserve">Selected Specification</t>
  </si>
  <si>
    <t xml:space="preserve">Use and Coordination</t>
  </si>
  <si>
    <t xml:space="preserve">Source URL</t>
  </si>
  <si>
    <t xml:space="preserve">Quoted Unit Cost</t>
  </si>
  <si>
    <t xml:space="preserve">Quoted Extended Cost</t>
  </si>
  <si>
    <t xml:space="preserve">Quote Reference / Date</t>
  </si>
  <si>
    <t xml:space="preserve">Cabinet construction</t>
  </si>
  <si>
    <t xml:space="preserve">C-01</t>
  </si>
  <si>
    <t xml:space="preserve">sheet</t>
  </si>
  <si>
    <t xml:space="preserve">Prefinished maple cabinet plywood</t>
  </si>
  <si>
    <t xml:space="preserve">3/4 in x 4 x 8 ft, C-2, two-side prefinished</t>
  </si>
  <si>
    <t xml:space="preserve">Carcasses and adjustable shelves</t>
  </si>
  <si>
    <t xml:space="preserve">https://img1.wsimg.com/blobby/go/cd7c64eb-8cd0-4bb3-8b41-9bb1cb720b48/HWP%20Price%20List%2002_26.xlsx%20-%20Sheet1%283%29.pdf</t>
  </si>
  <si>
    <t xml:space="preserve">HWP Feb 2026 price list; accessed 2026-09-22</t>
  </si>
  <si>
    <t xml:space="preserve">C-02</t>
  </si>
  <si>
    <t xml:space="preserve">Domestic maple veneer plywood</t>
  </si>
  <si>
    <t xml:space="preserve">1/4 in x 4 x 8 ft, B-2</t>
  </si>
  <si>
    <t xml:space="preserve">Cabinet backs and recessed panels</t>
  </si>
  <si>
    <t xml:space="preserve">https://cdn.hibuwebsites.com/8146c0f71b4c4391ae7a534b644b0c01/files/uploaded/Peach%20State%20Price%20Sheet%20Plywood.pdf</t>
  </si>
  <si>
    <t xml:space="preserve">Published supplier sheet price; accessed 2026-09-22</t>
  </si>
  <si>
    <t xml:space="preserve">Cabinet finish</t>
  </si>
  <si>
    <t xml:space="preserve">C-08</t>
  </si>
  <si>
    <t xml:space="preserve">gallon</t>
  </si>
  <si>
    <t xml:space="preserve">Benjamin Moore ADVANCE 0792</t>
  </si>
  <si>
    <t xml:space="preserve">Precious Ivory 185, satin</t>
  </si>
  <si>
    <t xml:space="preserve">Painted cabinetry, crown, and toe kick</t>
  </si>
  <si>
    <t xml:space="preserve">https://www.benjaminmoore.com/en-us/product/advance-interior-paint-satin-1-gallon-precious-ivory-185/0792/ZWB100000000346704</t>
  </si>
  <si>
    <t xml:space="preserve">Benjamin Moore web price; accessed 2026-09-22</t>
  </si>
  <si>
    <t xml:space="preserve">C-09A</t>
  </si>
  <si>
    <t xml:space="preserve">quart</t>
  </si>
  <si>
    <t xml:space="preserve">General Finishes water-based stain</t>
  </si>
  <si>
    <t xml:space="preserve">Antique Oak</t>
  </si>
  <si>
    <t xml:space="preserve">White-oak fronts and shelves</t>
  </si>
  <si>
    <t xml:space="preserve">https://www.rockler.com/general-finishes-water-based-wood-stain-antique-oak</t>
  </si>
  <si>
    <t xml:space="preserve">Rockler web price; accessed 2026-09-22</t>
  </si>
  <si>
    <t xml:space="preserve">Functional hardware</t>
  </si>
  <si>
    <t xml:space="preserve">H-01</t>
  </si>
  <si>
    <t xml:space="preserve">each</t>
  </si>
  <si>
    <t xml:space="preserve">Blum 71B3550-BLK hinge</t>
  </si>
  <si>
    <t xml:space="preserve">CLIP top BLUMOTION, 110 deg, full overlay</t>
  </si>
  <si>
    <t xml:space="preserve">Two hinges per hinged front</t>
  </si>
  <si>
    <t xml:space="preserve">https://www.cabinetparts.com/p/blum-hinges-european-cabinet-hinges-BH71B3550BLK-p6656</t>
  </si>
  <si>
    <t xml:space="preserve">CabinetParts web price; accessed 2026-09-22</t>
  </si>
  <si>
    <t xml:space="preserve">H-02</t>
  </si>
  <si>
    <t xml:space="preserve">Blum 173H7100 mounting plate</t>
  </si>
  <si>
    <t xml:space="preserve">0 mm cruciform, screw-on</t>
  </si>
  <si>
    <t xml:space="preserve">One plate per hinge</t>
  </si>
  <si>
    <t xml:space="preserve">https://procabinetsupply.com/products/0-mm-cam-adjustable-screw-on-european-mounting-plate-173h7100-blum</t>
  </si>
  <si>
    <t xml:space="preserve">Pro Cabinet Supply web price; accessed 2026-09-22</t>
  </si>
  <si>
    <t xml:space="preserve">H-03</t>
  </si>
  <si>
    <t xml:space="preserve">pair</t>
  </si>
  <si>
    <t xml:space="preserve">Blum 563H5330B runners</t>
  </si>
  <si>
    <t xml:space="preserve">21 in TANDEM plus BLUMOTION</t>
  </si>
  <si>
    <t xml:space="preserve">One pair per drawer box</t>
  </si>
  <si>
    <t xml:space="preserve">https://shop.herringtons.com/blum-21-blumotion-tandem-slide</t>
  </si>
  <si>
    <t xml:space="preserve">Herrington's web price per pair; accessed 2026-09-22</t>
  </si>
  <si>
    <t xml:space="preserve">H-04</t>
  </si>
  <si>
    <t xml:space="preserve">Blum T51.1901 locking devices</t>
  </si>
  <si>
    <t xml:space="preserve">Left/right pair with side adjustment</t>
  </si>
  <si>
    <t xml:space="preserve">https://www.rokhardware.com/tandem-front-locking-device-with-side-to-side-adjustment-for-b563-and-b569-series-pair.html</t>
  </si>
  <si>
    <t xml:space="preserve">ROK Hardware web price per pair; accessed 2026-09-22</t>
  </si>
  <si>
    <t xml:space="preserve">H-05</t>
  </si>
  <si>
    <t xml:space="preserve">Rev-A-Shelf 448UT-BCSC-8C</t>
  </si>
  <si>
    <t xml:space="preserve">8-3/4 x 21-5/8 x 25-1/2 in, soft close</t>
  </si>
  <si>
    <t xml:space="preserve">B12 base pullout organizer</t>
  </si>
  <si>
    <t xml:space="preserve">https://www.homedepot.com/p/312844014</t>
  </si>
  <si>
    <t xml:space="preserve">Home Depot web price; accessed 2026-09-22</t>
  </si>
  <si>
    <t xml:space="preserve">Decorative hardware</t>
  </si>
  <si>
    <t xml:space="preserve">D-01</t>
  </si>
  <si>
    <t xml:space="preserve">Amerock BP36853CZ Revolve pull</t>
  </si>
  <si>
    <t xml:space="preserve">Champagne Bronze, 128 mm centers</t>
  </si>
  <si>
    <t xml:space="preserve">Five drawers and B12 pullout</t>
  </si>
  <si>
    <t xml:space="preserve">https://www.lowes.com/pd/Amerock-Revolve-5-1-16-in-Center-to-Center-Champagne-Bronze-Cylindrical-Handle-Drawer-Pulls/5014114911</t>
  </si>
  <si>
    <t xml:space="preserve">Lowe's web price; accessed 2026-09-22</t>
  </si>
  <si>
    <t xml:space="preserve">D-02</t>
  </si>
  <si>
    <t xml:space="preserve">Amerock BP55342CZ Revitalize knob</t>
  </si>
  <si>
    <t xml:space="preserve">Champagne Bronze, 1-1/4 in diameter</t>
  </si>
  <si>
    <t xml:space="preserve">Seven hinged fronts</t>
  </si>
  <si>
    <t xml:space="preserve">https://www.shopamerock.com/product/amebp55342g10/amerock-bp55342cz/1-1-4-32mm-diameter-knob-in-champagne-bronze</t>
  </si>
  <si>
    <t xml:space="preserve">ShopAmerock web price; accessed 2026-09-22</t>
  </si>
  <si>
    <t xml:space="preserve">Plumbing and surfaces</t>
  </si>
  <si>
    <t xml:space="preserve">P-01</t>
  </si>
  <si>
    <t xml:space="preserve">Nantucket Sinks SR3018</t>
  </si>
  <si>
    <t xml:space="preserve">30 x 18 x 10 in, 16 ga stainless, undermount</t>
  </si>
  <si>
    <t xml:space="preserve">Fits SB36 sink base</t>
  </si>
  <si>
    <t xml:space="preserve">https://www.nantucketsinksusa.com/product-page/SR3018</t>
  </si>
  <si>
    <t xml:space="preserve">Manufacturer published price; accessed 2026-09-22</t>
  </si>
  <si>
    <t xml:space="preserve">P-02</t>
  </si>
  <si>
    <t xml:space="preserve">Delta Trinsic 9159-CZ-DST</t>
  </si>
  <si>
    <t xml:space="preserve">Champagne Bronze pull-down faucet</t>
  </si>
  <si>
    <t xml:space="preserve">Single-hole sink installation</t>
  </si>
  <si>
    <t xml:space="preserve">https://www.wayfair.com/Delta-Trinsic-Kitchen-Faucet-with-Diamond-Seal-Technology-9159-DST-DLT6063.html</t>
  </si>
  <si>
    <t xml:space="preserve">Wayfair web price; accessed 2026-09-22</t>
  </si>
  <si>
    <t xml:space="preserve">Quoted material total (before tax and freight)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</si>
</sst>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.##"/>
    <numFmt numFmtId="166" formatCode="[$-409]\$#,##0.00_);[RED]&quot;($&quot;#,##0.00\)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 Display"/>
      <family val="0"/>
      <charset val="1"/>
    </font>
    <font>
      <i val="true"/>
      <sz val="11"/>
      <color rgb="FF5A4636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000000"/>
      <name val="Arial"/>
      <family val="2"/>
    </font>
    <font>
      <b val="true"/>
      <sz val="10"/>
      <color rgb="FF5A4636"/>
      <name val="Arial"/>
      <family val="2"/>
    </font>
    <font>
      <u val="single"/>
      <sz val="10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4636"/>
        <bgColor rgb="FF333300"/>
      </patternFill>
    </fill>
    <fill>
      <patternFill patternType="solid">
        <fgColor rgb="FFF0E9DE"/>
        <bgColor rgb="FFFFFFFF"/>
      </patternFill>
    </fill>
    <fill>
      <patternFill patternType="solid">
        <fgColor rgb="FF866044"/>
        <bgColor rgb="FF8A6A4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A6A4C"/>
      </bottom>
      <diagonal/>
    </border>
    <border diagonalUp="false" diagonalDown="false">
      <left/>
      <right/>
      <top/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66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A463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7"/>
      <rgbColor rgb="FF8A6A4C"/>
      <rgbColor rgb="FF9999FF"/>
      <rgbColor rgb="FF993366"/>
      <rgbColor rgb="FFF0E9DE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6604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A4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81"/>
    <col collapsed="false" customWidth="true" hidden="false" outlineLevel="0" max="2" min="2" style="0" width="6.31"/>
    <col collapsed="false" customWidth="true" hidden="false" outlineLevel="0" max="3" min="3" style="0" width="7.21"/>
    <col collapsed="false" customWidth="true" hidden="false" outlineLevel="0" max="4" min="4" style="0" width="8.11"/>
    <col collapsed="false" customWidth="true" hidden="false" outlineLevel="0" max="5" min="5" style="0" width="16.22"/>
    <col collapsed="false" customWidth="true" hidden="false" outlineLevel="0" max="6" min="6" style="0" width="17.12"/>
    <col collapsed="false" customWidth="true" hidden="false" outlineLevel="0" max="7" min="7" style="0" width="23.42"/>
    <col collapsed="false" customWidth="true" hidden="false" outlineLevel="0" max="8" min="8" style="0" width="18.92"/>
    <col collapsed="false" customWidth="true" hidden="false" outlineLevel="0" max="9" min="9" style="0" width="9.91"/>
    <col collapsed="false" customWidth="true" hidden="false" outlineLevel="0" max="10" min="10" style="0" width="11.71"/>
    <col collapsed="false" customWidth="true" hidden="false" outlineLevel="0" max="11" min="11" style="0" width="16.22"/>
  </cols>
  <sheetData>
    <row r="1" customFormat="false" ht="2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2.8" hidden="false" customHeight="false" outlineLevel="0" collapsed="false">
      <c r="A4" s="4" t="s">
        <v>13</v>
      </c>
      <c r="B4" s="5" t="s">
        <v>14</v>
      </c>
      <c r="C4" s="6" t="n">
        <v>6</v>
      </c>
      <c r="D4" s="4" t="s">
        <v>15</v>
      </c>
      <c r="E4" s="4" t="s">
        <v>16</v>
      </c>
      <c r="F4" s="4" t="s">
        <v>17</v>
      </c>
      <c r="G4" s="4" t="s">
        <v>18</v>
      </c>
      <c r="H4" s="7" t="s">
        <v>19</v>
      </c>
      <c r="I4" s="8" t="n">
        <v>170</v>
      </c>
      <c r="J4" s="8" t="n">
        <f aca="false">C4*I4</f>
        <v>1020</v>
      </c>
      <c r="K4" s="4" t="s">
        <v>20</v>
      </c>
    </row>
    <row r="5" customFormat="false" ht="12.8" hidden="false" customHeight="false" outlineLevel="0" collapsed="false">
      <c r="A5" s="4" t="s">
        <v>13</v>
      </c>
      <c r="B5" s="5" t="s">
        <v>21</v>
      </c>
      <c r="C5" s="6" t="n">
        <v>3</v>
      </c>
      <c r="D5" s="4" t="s">
        <v>15</v>
      </c>
      <c r="E5" s="4" t="s">
        <v>22</v>
      </c>
      <c r="F5" s="4" t="s">
        <v>23</v>
      </c>
      <c r="G5" s="4" t="s">
        <v>24</v>
      </c>
      <c r="H5" s="7" t="s">
        <v>25</v>
      </c>
      <c r="I5" s="8" t="n">
        <v>59</v>
      </c>
      <c r="J5" s="8" t="n">
        <f aca="false">C5*I5</f>
        <v>177</v>
      </c>
      <c r="K5" s="4" t="s">
        <v>26</v>
      </c>
    </row>
    <row r="6" customFormat="false" ht="12.8" hidden="false" customHeight="false" outlineLevel="0" collapsed="false">
      <c r="A6" s="4" t="s">
        <v>27</v>
      </c>
      <c r="B6" s="5" t="s">
        <v>28</v>
      </c>
      <c r="C6" s="6" t="n">
        <v>1</v>
      </c>
      <c r="D6" s="4" t="s">
        <v>29</v>
      </c>
      <c r="E6" s="4" t="s">
        <v>30</v>
      </c>
      <c r="F6" s="4" t="s">
        <v>31</v>
      </c>
      <c r="G6" s="4" t="s">
        <v>32</v>
      </c>
      <c r="H6" s="7" t="s">
        <v>33</v>
      </c>
      <c r="I6" s="8" t="n">
        <v>88.99</v>
      </c>
      <c r="J6" s="8" t="n">
        <f aca="false">C6*I6</f>
        <v>88.99</v>
      </c>
      <c r="K6" s="4" t="s">
        <v>34</v>
      </c>
    </row>
    <row r="7" customFormat="false" ht="12.8" hidden="false" customHeight="false" outlineLevel="0" collapsed="false">
      <c r="A7" s="4" t="s">
        <v>27</v>
      </c>
      <c r="B7" s="5" t="s">
        <v>35</v>
      </c>
      <c r="C7" s="6" t="n">
        <v>1</v>
      </c>
      <c r="D7" s="4" t="s">
        <v>36</v>
      </c>
      <c r="E7" s="4" t="s">
        <v>37</v>
      </c>
      <c r="F7" s="4" t="s">
        <v>38</v>
      </c>
      <c r="G7" s="4" t="s">
        <v>39</v>
      </c>
      <c r="H7" s="7" t="s">
        <v>40</v>
      </c>
      <c r="I7" s="8" t="n">
        <v>40.99</v>
      </c>
      <c r="J7" s="8" t="n">
        <f aca="false">C7*I7</f>
        <v>40.99</v>
      </c>
      <c r="K7" s="4" t="s">
        <v>41</v>
      </c>
    </row>
    <row r="8" customFormat="false" ht="12.8" hidden="false" customHeight="false" outlineLevel="0" collapsed="false">
      <c r="A8" s="4" t="s">
        <v>42</v>
      </c>
      <c r="B8" s="5" t="s">
        <v>43</v>
      </c>
      <c r="C8" s="6" t="n">
        <v>14</v>
      </c>
      <c r="D8" s="4" t="s">
        <v>44</v>
      </c>
      <c r="E8" s="4" t="s">
        <v>45</v>
      </c>
      <c r="F8" s="4" t="s">
        <v>46</v>
      </c>
      <c r="G8" s="4" t="s">
        <v>47</v>
      </c>
      <c r="H8" s="7" t="s">
        <v>48</v>
      </c>
      <c r="I8" s="8" t="n">
        <v>6.38</v>
      </c>
      <c r="J8" s="8" t="n">
        <f aca="false">C8*I8</f>
        <v>89.32</v>
      </c>
      <c r="K8" s="4" t="s">
        <v>49</v>
      </c>
    </row>
    <row r="9" customFormat="false" ht="12.8" hidden="false" customHeight="false" outlineLevel="0" collapsed="false">
      <c r="A9" s="4" t="s">
        <v>42</v>
      </c>
      <c r="B9" s="5" t="s">
        <v>50</v>
      </c>
      <c r="C9" s="6" t="n">
        <v>14</v>
      </c>
      <c r="D9" s="4" t="s">
        <v>44</v>
      </c>
      <c r="E9" s="4" t="s">
        <v>51</v>
      </c>
      <c r="F9" s="4" t="s">
        <v>52</v>
      </c>
      <c r="G9" s="4" t="s">
        <v>53</v>
      </c>
      <c r="H9" s="7" t="s">
        <v>54</v>
      </c>
      <c r="I9" s="8" t="n">
        <v>0.65</v>
      </c>
      <c r="J9" s="8" t="n">
        <f aca="false">C9*I9</f>
        <v>9.1</v>
      </c>
      <c r="K9" s="4" t="s">
        <v>55</v>
      </c>
    </row>
    <row r="10" customFormat="false" ht="12.8" hidden="false" customHeight="false" outlineLevel="0" collapsed="false">
      <c r="A10" s="4" t="s">
        <v>42</v>
      </c>
      <c r="B10" s="5" t="s">
        <v>56</v>
      </c>
      <c r="C10" s="6" t="n">
        <v>5</v>
      </c>
      <c r="D10" s="4" t="s">
        <v>57</v>
      </c>
      <c r="E10" s="4" t="s">
        <v>58</v>
      </c>
      <c r="F10" s="4" t="s">
        <v>59</v>
      </c>
      <c r="G10" s="4" t="s">
        <v>60</v>
      </c>
      <c r="H10" s="7" t="s">
        <v>61</v>
      </c>
      <c r="I10" s="8" t="n">
        <v>44.99</v>
      </c>
      <c r="J10" s="8" t="n">
        <f aca="false">C10*I10</f>
        <v>224.95</v>
      </c>
      <c r="K10" s="4" t="s">
        <v>62</v>
      </c>
    </row>
    <row r="11" customFormat="false" ht="12.8" hidden="false" customHeight="false" outlineLevel="0" collapsed="false">
      <c r="A11" s="4" t="s">
        <v>42</v>
      </c>
      <c r="B11" s="5" t="s">
        <v>63</v>
      </c>
      <c r="C11" s="6" t="n">
        <v>5</v>
      </c>
      <c r="D11" s="4" t="s">
        <v>57</v>
      </c>
      <c r="E11" s="4" t="s">
        <v>64</v>
      </c>
      <c r="F11" s="4" t="s">
        <v>65</v>
      </c>
      <c r="G11" s="4" t="s">
        <v>60</v>
      </c>
      <c r="H11" s="7" t="s">
        <v>66</v>
      </c>
      <c r="I11" s="8" t="n">
        <v>4.68</v>
      </c>
      <c r="J11" s="8" t="n">
        <f aca="false">C11*I11</f>
        <v>23.4</v>
      </c>
      <c r="K11" s="4" t="s">
        <v>67</v>
      </c>
    </row>
    <row r="12" customFormat="false" ht="12.8" hidden="false" customHeight="false" outlineLevel="0" collapsed="false">
      <c r="A12" s="4" t="s">
        <v>42</v>
      </c>
      <c r="B12" s="5" t="s">
        <v>68</v>
      </c>
      <c r="C12" s="6" t="n">
        <v>1</v>
      </c>
      <c r="D12" s="4" t="s">
        <v>44</v>
      </c>
      <c r="E12" s="4" t="s">
        <v>69</v>
      </c>
      <c r="F12" s="4" t="s">
        <v>70</v>
      </c>
      <c r="G12" s="4" t="s">
        <v>71</v>
      </c>
      <c r="H12" s="7" t="s">
        <v>72</v>
      </c>
      <c r="I12" s="8" t="n">
        <v>465.99</v>
      </c>
      <c r="J12" s="8" t="n">
        <f aca="false">C12*I12</f>
        <v>465.99</v>
      </c>
      <c r="K12" s="4" t="s">
        <v>73</v>
      </c>
    </row>
    <row r="13" customFormat="false" ht="12.8" hidden="false" customHeight="false" outlineLevel="0" collapsed="false">
      <c r="A13" s="4" t="s">
        <v>74</v>
      </c>
      <c r="B13" s="5" t="s">
        <v>75</v>
      </c>
      <c r="C13" s="6" t="n">
        <v>6</v>
      </c>
      <c r="D13" s="4" t="s">
        <v>44</v>
      </c>
      <c r="E13" s="4" t="s">
        <v>76</v>
      </c>
      <c r="F13" s="4" t="s">
        <v>77</v>
      </c>
      <c r="G13" s="4" t="s">
        <v>78</v>
      </c>
      <c r="H13" s="7" t="s">
        <v>79</v>
      </c>
      <c r="I13" s="8" t="n">
        <v>5.33</v>
      </c>
      <c r="J13" s="8" t="n">
        <f aca="false">C13*I13</f>
        <v>31.98</v>
      </c>
      <c r="K13" s="4" t="s">
        <v>80</v>
      </c>
    </row>
    <row r="14" customFormat="false" ht="12.8" hidden="false" customHeight="false" outlineLevel="0" collapsed="false">
      <c r="A14" s="4" t="s">
        <v>74</v>
      </c>
      <c r="B14" s="5" t="s">
        <v>81</v>
      </c>
      <c r="C14" s="6" t="n">
        <v>7</v>
      </c>
      <c r="D14" s="4" t="s">
        <v>44</v>
      </c>
      <c r="E14" s="4" t="s">
        <v>82</v>
      </c>
      <c r="F14" s="4" t="s">
        <v>83</v>
      </c>
      <c r="G14" s="4" t="s">
        <v>84</v>
      </c>
      <c r="H14" s="7" t="s">
        <v>85</v>
      </c>
      <c r="I14" s="8" t="n">
        <v>6.42</v>
      </c>
      <c r="J14" s="8" t="n">
        <f aca="false">C14*I14</f>
        <v>44.94</v>
      </c>
      <c r="K14" s="4" t="s">
        <v>86</v>
      </c>
    </row>
    <row r="15" customFormat="false" ht="12.8" hidden="false" customHeight="false" outlineLevel="0" collapsed="false">
      <c r="A15" s="4" t="s">
        <v>87</v>
      </c>
      <c r="B15" s="5" t="s">
        <v>88</v>
      </c>
      <c r="C15" s="6" t="n">
        <v>1</v>
      </c>
      <c r="D15" s="4" t="s">
        <v>44</v>
      </c>
      <c r="E15" s="4" t="s">
        <v>89</v>
      </c>
      <c r="F15" s="4" t="s">
        <v>90</v>
      </c>
      <c r="G15" s="4" t="s">
        <v>91</v>
      </c>
      <c r="H15" s="7" t="s">
        <v>92</v>
      </c>
      <c r="I15" s="8" t="n">
        <v>749.99</v>
      </c>
      <c r="J15" s="8" t="n">
        <f aca="false">C15*I15</f>
        <v>749.99</v>
      </c>
      <c r="K15" s="4" t="s">
        <v>93</v>
      </c>
    </row>
    <row r="16" customFormat="false" ht="12.8" hidden="false" customHeight="false" outlineLevel="0" collapsed="false">
      <c r="A16" s="4" t="s">
        <v>87</v>
      </c>
      <c r="B16" s="5" t="s">
        <v>94</v>
      </c>
      <c r="C16" s="6" t="n">
        <v>1</v>
      </c>
      <c r="D16" s="4" t="s">
        <v>44</v>
      </c>
      <c r="E16" s="4" t="s">
        <v>95</v>
      </c>
      <c r="F16" s="4" t="s">
        <v>96</v>
      </c>
      <c r="G16" s="4" t="s">
        <v>97</v>
      </c>
      <c r="H16" s="7" t="s">
        <v>98</v>
      </c>
      <c r="I16" s="8" t="n">
        <v>719</v>
      </c>
      <c r="J16" s="8" t="n">
        <f aca="false">C16*I16</f>
        <v>719</v>
      </c>
      <c r="K16" s="4" t="s">
        <v>99</v>
      </c>
    </row>
    <row r="17" customFormat="false" ht="24" hidden="false" customHeight="true" outlineLevel="0" collapsed="false">
      <c r="A17" s="3" t="s">
        <v>100</v>
      </c>
      <c r="B17" s="3"/>
      <c r="C17" s="3"/>
      <c r="D17" s="3"/>
      <c r="E17" s="3"/>
      <c r="F17" s="3"/>
      <c r="G17" s="3"/>
      <c r="H17" s="3"/>
      <c r="I17" s="3"/>
      <c r="J17" s="8" t="n">
        <f aca="false">SUM($J$4:$J$16)</f>
        <v>3685.65</v>
      </c>
      <c r="K17" s="4"/>
    </row>
  </sheetData>
  <autoFilter ref="A3:K17"/>
  <mergeCells count="3">
    <mergeCell ref="A1:K1"/>
    <mergeCell ref="A2:K2"/>
    <mergeCell ref="A17:I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